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SF Assessment" sheetId="2" state="visible" r:id="rId4"/>
    <sheet name="Risk Register" sheetId="3" state="visible" r:id="rId5"/>
    <sheet name="Remediation Road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<sst xmlns="http://schemas.openxmlformats.org/spreadsheetml/2006/main" count="159" uniqueCount="103">
  <si>
    <t xml:space="preserve">NIST CSF 2.0 Risk Register &amp; Gap Analysis — Home Network Assessment</t>
  </si>
  <si>
    <t xml:space="preserve">Subject: a real home network, assessed as a personal GRC portfolio project</t>
  </si>
  <si>
    <t xml:space="preserve">HOW TO USE THIS WORKBOOK</t>
  </si>
  <si>
    <t xml:space="preserve">1. CSF Assessment tab — the 6 NIST CSF 2.0 Functions and their Categories, applied to a home network</t>
  </si>
  <si>
    <t xml:space="preserve">   environment (basic ISP router, multiple family members, occasional sensitive-data use).</t>
  </si>
  <si>
    <t xml:space="preserve">2. Risk Register tab — every gap converted into a scored risk (Likelihood x Impact). Formulas</t>
  </si>
  <si>
    <t xml:space="preserve">   auto-calculate the score and priority band — don't overwrite them, just add rows.</t>
  </si>
  <si>
    <t xml:space="preserve">3. Remediation Roadmap tab — risks grouped into Quick Win / Short-Term / Long-Term buckets.</t>
  </si>
  <si>
    <t xml:space="preserve">COLOR KEY</t>
  </si>
  <si>
    <t xml:space="preserve">Yellow/orange fill on Priority = High risk. Yellow on Status = Partially Met.</t>
  </si>
  <si>
    <t xml:space="preserve">White cells with formulas = do not edit directly; they recalculate from the Risk Register tab.</t>
  </si>
  <si>
    <t xml:space="preserve">This project demonstrates the same methodology used in a professional GRC gap analysis</t>
  </si>
  <si>
    <t xml:space="preserve">(NIST CSF 2.0 mapping, likelihood/impact scoring, phased remediation), applied to a real,</t>
  </si>
  <si>
    <t xml:space="preserve">everyday environment to show practical, not just theoretical, framework fluency.</t>
  </si>
  <si>
    <t xml:space="preserve">Function</t>
  </si>
  <si>
    <t xml:space="preserve">Category</t>
  </si>
  <si>
    <t xml:space="preserve">Current State</t>
  </si>
  <si>
    <t xml:space="preserve">Status</t>
  </si>
  <si>
    <t xml:space="preserve">Gap / Risk Exposure</t>
  </si>
  <si>
    <t xml:space="preserve">Govern</t>
  </si>
  <si>
    <t xml:space="preserve">Organizational Context / Risk Strategy</t>
  </si>
  <si>
    <t xml:space="preserve">No household security rules exist; no one has defined what's acceptable (e.g., what devices connect, how passwords are handled).</t>
  </si>
  <si>
    <t xml:space="preserve">Not Met</t>
  </si>
  <si>
    <t xml:space="preserve">Without agreed-upon rules, security depends entirely on individual habits, which vary widely across household members.</t>
  </si>
  <si>
    <t xml:space="preserve">Roles, Responsibilities &amp; Authorities</t>
  </si>
  <si>
    <t xml:space="preserve">Fatima is the de facto network administrator by default (most technically knowledgeable), but this is informal.</t>
  </si>
  <si>
    <t xml:space="preserve">Partially Met</t>
  </si>
  <si>
    <t xml:space="preserve">No backup or shared understanding of who manages the network if she's unavailable during an issue.</t>
  </si>
  <si>
    <t xml:space="preserve">Identify</t>
  </si>
  <si>
    <t xml:space="preserve">Asset Management</t>
  </si>
  <si>
    <t xml:space="preserve">No inventory of devices connected to the network (phones, laptops, TV); no record of what 'normal' looks like.</t>
  </si>
  <si>
    <t xml:space="preserve">An unfamiliar or unauthorized device could join the network without anyone noticing.</t>
  </si>
  <si>
    <t xml:space="preserve">Risk Assessment</t>
  </si>
  <si>
    <t xml:space="preserve">No prior risk assessment of the home network has been performed; this project is the first.</t>
  </si>
  <si>
    <t xml:space="preserve">No visibility into which household security gaps matter most.</t>
  </si>
  <si>
    <t xml:space="preserve">Protect</t>
  </si>
  <si>
    <t xml:space="preserve">Identity Management &amp; Access Control</t>
  </si>
  <si>
    <t xml:space="preserve">Router admin credentials are still factory default; Fatima uses a password generator and passkeys personally, but other family members reuse passwords across accounts.</t>
  </si>
  <si>
    <t xml:space="preserve">Default router credentials are publicly searchable by make/model, giving easy unauthorized access; reused passwords mean one breached account can compromise several.</t>
  </si>
  <si>
    <t xml:space="preserve">Network Segmentation</t>
  </si>
  <si>
    <t xml:space="preserve">Single flat network — no separate guest network for visitors or lower-trust devices.</t>
  </si>
  <si>
    <t xml:space="preserve">A compromised guest or visitor device has the same network access as personal devices handling sensitive data.</t>
  </si>
  <si>
    <t xml:space="preserve">Awareness &amp; Habits</t>
  </si>
  <si>
    <t xml:space="preserve">No shared understanding among family members of safe password practices or phishing risks.</t>
  </si>
  <si>
    <t xml:space="preserve">Household members are the most likely entry point for account compromise via weak/reused credentials.</t>
  </si>
  <si>
    <t xml:space="preserve">Platform &amp; Technology Security</t>
  </si>
  <si>
    <t xml:space="preserve">Router firmware updates automatically; no smart-home/IoT devices in use (smaller attack surface).</t>
  </si>
  <si>
    <t xml:space="preserve">Met</t>
  </si>
  <si>
    <t xml:space="preserve">This is a genuine strength — automatic patching closes off a common vulnerability class, and the lack of IoT devices limits exposure.</t>
  </si>
  <si>
    <t xml:space="preserve">Detect</t>
  </si>
  <si>
    <t xml:space="preserve">Continuous Monitoring</t>
  </si>
  <si>
    <t xml:space="preserve">No one checks the router's connected-devices list; no visibility into unusual network activity.</t>
  </si>
  <si>
    <t xml:space="preserve">An unfamiliar device or unusual data usage could go unnoticed indefinitely.</t>
  </si>
  <si>
    <t xml:space="preserve">Respond</t>
  </si>
  <si>
    <t xml:space="preserve">Incident Management</t>
  </si>
  <si>
    <t xml:space="preserve">No plan for what to do if something looks wrong (locked-out account, unknown device, suspicious activity).</t>
  </si>
  <si>
    <t xml:space="preserve">A real incident would be handled reactively and without a clear first step, increasing confusion and response time.</t>
  </si>
  <si>
    <t xml:space="preserve">Recover</t>
  </si>
  <si>
    <t xml:space="preserve">Recovery Planning</t>
  </si>
  <si>
    <t xml:space="preserve">Personal documents and photos are backed up to cloud/external storage.</t>
  </si>
  <si>
    <t xml:space="preserve">This is a genuine strength — data loss from a compromised or failed device would not be catastrophic thanks to existing backups.</t>
  </si>
  <si>
    <t xml:space="preserve">Risk ID</t>
  </si>
  <si>
    <t xml:space="preserve">Risk Description</t>
  </si>
  <si>
    <t xml:space="preserve">CSF Function</t>
  </si>
  <si>
    <t xml:space="preserve">Likelihood (1-5)</t>
  </si>
  <si>
    <t xml:space="preserve">Impact (1-5)</t>
  </si>
  <si>
    <t xml:space="preserve">Risk Score</t>
  </si>
  <si>
    <t xml:space="preserve">Priority</t>
  </si>
  <si>
    <t xml:space="preserve">Owner</t>
  </si>
  <si>
    <t xml:space="preserve">R-01</t>
  </si>
  <si>
    <t xml:space="preserve">Router still has default admin credentials</t>
  </si>
  <si>
    <t xml:space="preserve">Fatima</t>
  </si>
  <si>
    <t xml:space="preserve">Open</t>
  </si>
  <si>
    <t xml:space="preserve">R-02</t>
  </si>
  <si>
    <t xml:space="preserve">No guest network to isolate visitor devices</t>
  </si>
  <si>
    <t xml:space="preserve">R-03</t>
  </si>
  <si>
    <t xml:space="preserve">Inconsistent password hygiene among family members</t>
  </si>
  <si>
    <t xml:space="preserve">Household</t>
  </si>
  <si>
    <t xml:space="preserve">R-04</t>
  </si>
  <si>
    <t xml:space="preserve">No visibility into connected devices / unusual activity</t>
  </si>
  <si>
    <t xml:space="preserve">R-05</t>
  </si>
  <si>
    <t xml:space="preserve">No incident response plan for household security issues</t>
  </si>
  <si>
    <t xml:space="preserve">R-06</t>
  </si>
  <si>
    <t xml:space="preserve">No documented household security rules</t>
  </si>
  <si>
    <t xml:space="preserve">R-07</t>
  </si>
  <si>
    <t xml:space="preserve">No device inventory maintained</t>
  </si>
  <si>
    <t xml:space="preserve">Risk Score = Likelihood x Impact. Priority: High &gt;=15, Medium 8-14, Low &lt;=7. Sort by Risk Score (col F) descending to see top priorities.</t>
  </si>
  <si>
    <t xml:space="preserve">Phase</t>
  </si>
  <si>
    <t xml:space="preserve">Risk ID(s)</t>
  </si>
  <si>
    <t xml:space="preserve">Action</t>
  </si>
  <si>
    <t xml:space="preserve">Est. Effort</t>
  </si>
  <si>
    <t xml:space="preserve">Quick Win (0-30 days)</t>
  </si>
  <si>
    <t xml:space="preserve">Change router admin username/password from factory default to a unique, strong credential</t>
  </si>
  <si>
    <t xml:space="preserve">Low</t>
  </si>
  <si>
    <t xml:space="preserve">Set up a separate guest network for visitors and lower-trust devices</t>
  </si>
  <si>
    <t xml:space="preserve">Get family members using unique passwords or a password manager for email/school/other key accounts</t>
  </si>
  <si>
    <t xml:space="preserve">Short-Term (30-90 days)</t>
  </si>
  <si>
    <t xml:space="preserve">Check the router's built-in connected-devices list periodically to spot unfamiliar devices</t>
  </si>
  <si>
    <t xml:space="preserve">Write a one-page household plan: who to contact and what steps to take if something looks wrong</t>
  </si>
  <si>
    <t xml:space="preserve">Medium</t>
  </si>
  <si>
    <t xml:space="preserve">Long-Term (90+ days)</t>
  </si>
  <si>
    <t xml:space="preserve">Agree on 3-4 simple household security rules (e.g., no sharing Wi-Fi password with guests, personal devices only for sensitive tasks)</t>
  </si>
  <si>
    <t xml:space="preserve">Keep a simple running list of what devices are connected to the network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</si>
</sst>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19.5" hidden="false" customHeight="tru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</row>
    <row r="2" customFormat="false" ht="49.5" hidden="false" customHeight="true" outlineLevel="0" collapsed="false">
      <c r="A2" s="6" t="s">
        <v>19</v>
      </c>
      <c r="B2" s="6" t="s">
        <v>20</v>
      </c>
      <c r="C2" s="6" t="s">
        <v>21</v>
      </c>
      <c r="D2" s="7" t="s">
        <v>22</v>
      </c>
      <c r="E2" s="6" t="s">
        <v>23</v>
      </c>
    </row>
    <row r="3" customFormat="false" ht="49.5" hidden="false" customHeight="true" outlineLevel="0" collapsed="false">
      <c r="A3" s="6" t="s">
        <v>19</v>
      </c>
      <c r="B3" s="6" t="s">
        <v>24</v>
      </c>
      <c r="C3" s="6" t="s">
        <v>25</v>
      </c>
      <c r="D3" s="8" t="s">
        <v>26</v>
      </c>
      <c r="E3" s="6" t="s">
        <v>27</v>
      </c>
    </row>
    <row r="4" customFormat="false" ht="49.5" hidden="false" customHeight="true" outlineLevel="0" collapsed="false">
      <c r="A4" s="6" t="s">
        <v>28</v>
      </c>
      <c r="B4" s="6" t="s">
        <v>29</v>
      </c>
      <c r="C4" s="6" t="s">
        <v>30</v>
      </c>
      <c r="D4" s="7" t="s">
        <v>22</v>
      </c>
      <c r="E4" s="6" t="s">
        <v>31</v>
      </c>
    </row>
    <row r="5" customFormat="false" ht="49.5" hidden="false" customHeight="true" outlineLevel="0" collapsed="false">
      <c r="A5" s="6" t="s">
        <v>28</v>
      </c>
      <c r="B5" s="6" t="s">
        <v>32</v>
      </c>
      <c r="C5" s="6" t="s">
        <v>33</v>
      </c>
      <c r="D5" s="7" t="s">
        <v>22</v>
      </c>
      <c r="E5" s="6" t="s">
        <v>34</v>
      </c>
    </row>
    <row r="6" customFormat="false" ht="49.5" hidden="false" customHeight="true" outlineLevel="0" collapsed="false">
      <c r="A6" s="6" t="s">
        <v>35</v>
      </c>
      <c r="B6" s="6" t="s">
        <v>36</v>
      </c>
      <c r="C6" s="6" t="s">
        <v>37</v>
      </c>
      <c r="D6" s="8" t="s">
        <v>26</v>
      </c>
      <c r="E6" s="6" t="s">
        <v>38</v>
      </c>
    </row>
    <row r="7" customFormat="false" ht="49.5" hidden="false" customHeight="true" outlineLevel="0" collapsed="false">
      <c r="A7" s="6" t="s">
        <v>35</v>
      </c>
      <c r="B7" s="6" t="s">
        <v>39</v>
      </c>
      <c r="C7" s="6" t="s">
        <v>40</v>
      </c>
      <c r="D7" s="7" t="s">
        <v>22</v>
      </c>
      <c r="E7" s="6" t="s">
        <v>41</v>
      </c>
    </row>
    <row r="8" customFormat="false" ht="49.5" hidden="false" customHeight="true" outlineLevel="0" collapsed="false">
      <c r="A8" s="6" t="s">
        <v>35</v>
      </c>
      <c r="B8" s="6" t="s">
        <v>42</v>
      </c>
      <c r="C8" s="6" t="s">
        <v>43</v>
      </c>
      <c r="D8" s="7" t="s">
        <v>22</v>
      </c>
      <c r="E8" s="6" t="s">
        <v>44</v>
      </c>
    </row>
    <row r="9" customFormat="false" ht="49.5" hidden="false" customHeight="true" outlineLevel="0" collapsed="false">
      <c r="A9" s="6" t="s">
        <v>35</v>
      </c>
      <c r="B9" s="6" t="s">
        <v>45</v>
      </c>
      <c r="C9" s="6" t="s">
        <v>46</v>
      </c>
      <c r="D9" s="9" t="s">
        <v>47</v>
      </c>
      <c r="E9" s="6" t="s">
        <v>48</v>
      </c>
    </row>
    <row r="10" customFormat="false" ht="49.5" hidden="false" customHeight="true" outlineLevel="0" collapsed="false">
      <c r="A10" s="6" t="s">
        <v>49</v>
      </c>
      <c r="B10" s="6" t="s">
        <v>50</v>
      </c>
      <c r="C10" s="6" t="s">
        <v>51</v>
      </c>
      <c r="D10" s="7" t="s">
        <v>22</v>
      </c>
      <c r="E10" s="6" t="s">
        <v>52</v>
      </c>
    </row>
    <row r="11" customFormat="false" ht="49.5" hidden="false" customHeight="true" outlineLevel="0" collapsed="false">
      <c r="A11" s="6" t="s">
        <v>53</v>
      </c>
      <c r="B11" s="6" t="s">
        <v>54</v>
      </c>
      <c r="C11" s="6" t="s">
        <v>55</v>
      </c>
      <c r="D11" s="7" t="s">
        <v>22</v>
      </c>
      <c r="E11" s="6" t="s">
        <v>56</v>
      </c>
    </row>
    <row r="12" customFormat="false" ht="49.5" hidden="false" customHeight="true" outlineLevel="0" collapsed="false">
      <c r="A12" s="6" t="s">
        <v>57</v>
      </c>
      <c r="B12" s="6" t="s">
        <v>58</v>
      </c>
      <c r="C12" s="6" t="s">
        <v>59</v>
      </c>
      <c r="D12" s="9" t="s">
        <v>47</v>
      </c>
      <c r="E12" s="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7" min="5" style="0" width="12"/>
    <col collapsed="false" customWidth="true" hidden="false" outlineLevel="0" max="9" min="8" style="0" width="14"/>
  </cols>
  <sheetData>
    <row r="1" customFormat="false" ht="19.5" hidden="false" customHeight="true" outlineLevel="0" collapsed="false">
      <c r="A1" s="5" t="s">
        <v>61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17</v>
      </c>
    </row>
    <row r="2" customFormat="false" ht="30" hidden="false" customHeight="true" outlineLevel="0" collapsed="false">
      <c r="A2" s="6" t="s">
        <v>69</v>
      </c>
      <c r="B2" s="6" t="s">
        <v>70</v>
      </c>
      <c r="C2" s="6" t="s">
        <v>35</v>
      </c>
      <c r="D2" s="6" t="n">
        <v>4</v>
      </c>
      <c r="E2" s="6" t="n">
        <v>5</v>
      </c>
      <c r="F2" s="6" t="n">
        <f aca="false">D2*E2</f>
        <v>20</v>
      </c>
      <c r="G2" s="6" t="str">
        <f aca="false">IF(F2&gt;=15,"High",IF(F2&gt;=8,"Medium","Low"))</f>
        <v>High</v>
      </c>
      <c r="H2" s="6" t="s">
        <v>71</v>
      </c>
      <c r="I2" s="6" t="s">
        <v>72</v>
      </c>
    </row>
    <row r="3" customFormat="false" ht="30" hidden="false" customHeight="true" outlineLevel="0" collapsed="false">
      <c r="A3" s="6" t="s">
        <v>73</v>
      </c>
      <c r="B3" s="6" t="s">
        <v>74</v>
      </c>
      <c r="C3" s="6" t="s">
        <v>35</v>
      </c>
      <c r="D3" s="6" t="n">
        <v>3</v>
      </c>
      <c r="E3" s="6" t="n">
        <v>3</v>
      </c>
      <c r="F3" s="6" t="n">
        <f aca="false">D3*E3</f>
        <v>9</v>
      </c>
      <c r="G3" s="6" t="str">
        <f aca="false">IF(F3&gt;=15,"High",IF(F3&gt;=8,"Medium","Low"))</f>
        <v>Medium</v>
      </c>
      <c r="H3" s="6" t="s">
        <v>71</v>
      </c>
      <c r="I3" s="6" t="s">
        <v>72</v>
      </c>
    </row>
    <row r="4" customFormat="false" ht="30" hidden="false" customHeight="true" outlineLevel="0" collapsed="false">
      <c r="A4" s="6" t="s">
        <v>75</v>
      </c>
      <c r="B4" s="6" t="s">
        <v>76</v>
      </c>
      <c r="C4" s="6" t="s">
        <v>35</v>
      </c>
      <c r="D4" s="6" t="n">
        <v>4</v>
      </c>
      <c r="E4" s="6" t="n">
        <v>4</v>
      </c>
      <c r="F4" s="6" t="n">
        <f aca="false">D4*E4</f>
        <v>16</v>
      </c>
      <c r="G4" s="6" t="str">
        <f aca="false">IF(F4&gt;=15,"High",IF(F4&gt;=8,"Medium","Low"))</f>
        <v>High</v>
      </c>
      <c r="H4" s="6" t="s">
        <v>77</v>
      </c>
      <c r="I4" s="6" t="s">
        <v>72</v>
      </c>
    </row>
    <row r="5" customFormat="false" ht="30" hidden="false" customHeight="true" outlineLevel="0" collapsed="false">
      <c r="A5" s="6" t="s">
        <v>78</v>
      </c>
      <c r="B5" s="6" t="s">
        <v>79</v>
      </c>
      <c r="C5" s="6" t="s">
        <v>49</v>
      </c>
      <c r="D5" s="6" t="n">
        <v>3</v>
      </c>
      <c r="E5" s="6" t="n">
        <v>3</v>
      </c>
      <c r="F5" s="6" t="n">
        <f aca="false">D5*E5</f>
        <v>9</v>
      </c>
      <c r="G5" s="6" t="str">
        <f aca="false">IF(F5&gt;=15,"High",IF(F5&gt;=8,"Medium","Low"))</f>
        <v>Medium</v>
      </c>
      <c r="H5" s="6" t="s">
        <v>71</v>
      </c>
      <c r="I5" s="6" t="s">
        <v>72</v>
      </c>
    </row>
    <row r="6" customFormat="false" ht="30" hidden="false" customHeight="true" outlineLevel="0" collapsed="false">
      <c r="A6" s="6" t="s">
        <v>80</v>
      </c>
      <c r="B6" s="6" t="s">
        <v>81</v>
      </c>
      <c r="C6" s="6" t="s">
        <v>53</v>
      </c>
      <c r="D6" s="6" t="n">
        <v>2</v>
      </c>
      <c r="E6" s="6" t="n">
        <v>3</v>
      </c>
      <c r="F6" s="6" t="n">
        <f aca="false">D6*E6</f>
        <v>6</v>
      </c>
      <c r="G6" s="6" t="str">
        <f aca="false">IF(F6&gt;=15,"High",IF(F6&gt;=8,"Medium","Low"))</f>
        <v>Low</v>
      </c>
      <c r="H6" s="6" t="s">
        <v>71</v>
      </c>
      <c r="I6" s="6" t="s">
        <v>72</v>
      </c>
    </row>
    <row r="7" customFormat="false" ht="30" hidden="false" customHeight="true" outlineLevel="0" collapsed="false">
      <c r="A7" s="6" t="s">
        <v>82</v>
      </c>
      <c r="B7" s="6" t="s">
        <v>83</v>
      </c>
      <c r="C7" s="6" t="s">
        <v>19</v>
      </c>
      <c r="D7" s="6" t="n">
        <v>2</v>
      </c>
      <c r="E7" s="6" t="n">
        <v>2</v>
      </c>
      <c r="F7" s="6" t="n">
        <f aca="false">D7*E7</f>
        <v>4</v>
      </c>
      <c r="G7" s="6" t="str">
        <f aca="false">IF(F7&gt;=15,"High",IF(F7&gt;=8,"Medium","Low"))</f>
        <v>Low</v>
      </c>
      <c r="H7" s="6" t="s">
        <v>77</v>
      </c>
      <c r="I7" s="6" t="s">
        <v>72</v>
      </c>
    </row>
    <row r="8" customFormat="false" ht="30" hidden="false" customHeight="true" outlineLevel="0" collapsed="false">
      <c r="A8" s="6" t="s">
        <v>84</v>
      </c>
      <c r="B8" s="6" t="s">
        <v>85</v>
      </c>
      <c r="C8" s="6" t="s">
        <v>28</v>
      </c>
      <c r="D8" s="6" t="n">
        <v>2</v>
      </c>
      <c r="E8" s="6" t="n">
        <v>2</v>
      </c>
      <c r="F8" s="6" t="n">
        <f aca="false">D8*E8</f>
        <v>4</v>
      </c>
      <c r="G8" s="6" t="str">
        <f aca="false">IF(F8&gt;=15,"High",IF(F8&gt;=8,"Medium","Low"))</f>
        <v>Low</v>
      </c>
      <c r="H8" s="6" t="s">
        <v>71</v>
      </c>
      <c r="I8" s="6" t="s">
        <v>72</v>
      </c>
    </row>
    <row r="10" customFormat="false" ht="15" hidden="false" customHeight="false" outlineLevel="0" collapsed="false">
      <c r="A10" s="10" t="s">
        <v>86</v>
      </c>
    </row>
  </sheetData>
  <conditionalFormatting sqref="G2:G8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5" min="4" style="0" width="14"/>
  </cols>
  <sheetData>
    <row r="1" customFormat="false" ht="19.5" hidden="false" customHeight="true" outlineLevel="0" collapsed="false">
      <c r="A1" s="5" t="s">
        <v>87</v>
      </c>
      <c r="B1" s="5" t="s">
        <v>88</v>
      </c>
      <c r="C1" s="5" t="s">
        <v>89</v>
      </c>
      <c r="D1" s="5" t="s">
        <v>90</v>
      </c>
      <c r="E1" s="5" t="s">
        <v>68</v>
      </c>
    </row>
    <row r="2" customFormat="false" ht="33.75" hidden="false" customHeight="true" outlineLevel="0" collapsed="false">
      <c r="A2" s="6" t="s">
        <v>91</v>
      </c>
      <c r="B2" s="6" t="s">
        <v>69</v>
      </c>
      <c r="C2" s="6" t="s">
        <v>92</v>
      </c>
      <c r="D2" s="6" t="s">
        <v>93</v>
      </c>
      <c r="E2" s="6" t="s">
        <v>71</v>
      </c>
    </row>
    <row r="3" customFormat="false" ht="33.75" hidden="false" customHeight="true" outlineLevel="0" collapsed="false">
      <c r="A3" s="6" t="s">
        <v>91</v>
      </c>
      <c r="B3" s="6" t="s">
        <v>73</v>
      </c>
      <c r="C3" s="6" t="s">
        <v>94</v>
      </c>
      <c r="D3" s="6" t="s">
        <v>93</v>
      </c>
      <c r="E3" s="6" t="s">
        <v>71</v>
      </c>
    </row>
    <row r="4" customFormat="false" ht="33.75" hidden="false" customHeight="true" outlineLevel="0" collapsed="false">
      <c r="A4" s="6" t="s">
        <v>91</v>
      </c>
      <c r="B4" s="6" t="s">
        <v>75</v>
      </c>
      <c r="C4" s="6" t="s">
        <v>95</v>
      </c>
      <c r="D4" s="6" t="s">
        <v>93</v>
      </c>
      <c r="E4" s="6" t="s">
        <v>77</v>
      </c>
    </row>
    <row r="5" customFormat="false" ht="33.75" hidden="false" customHeight="true" outlineLevel="0" collapsed="false">
      <c r="A5" s="6" t="s">
        <v>96</v>
      </c>
      <c r="B5" s="6" t="s">
        <v>78</v>
      </c>
      <c r="C5" s="6" t="s">
        <v>97</v>
      </c>
      <c r="D5" s="6" t="s">
        <v>93</v>
      </c>
      <c r="E5" s="6" t="s">
        <v>71</v>
      </c>
    </row>
    <row r="6" customFormat="false" ht="33.75" hidden="false" customHeight="true" outlineLevel="0" collapsed="false">
      <c r="A6" s="6" t="s">
        <v>96</v>
      </c>
      <c r="B6" s="6" t="s">
        <v>80</v>
      </c>
      <c r="C6" s="6" t="s">
        <v>98</v>
      </c>
      <c r="D6" s="6" t="s">
        <v>99</v>
      </c>
      <c r="E6" s="6" t="s">
        <v>71</v>
      </c>
    </row>
    <row r="7" customFormat="false" ht="33.75" hidden="false" customHeight="true" outlineLevel="0" collapsed="false">
      <c r="A7" s="6" t="s">
        <v>100</v>
      </c>
      <c r="B7" s="6" t="s">
        <v>82</v>
      </c>
      <c r="C7" s="6" t="s">
        <v>101</v>
      </c>
      <c r="D7" s="6" t="s">
        <v>93</v>
      </c>
      <c r="E7" s="6" t="s">
        <v>77</v>
      </c>
    </row>
    <row r="8" customFormat="false" ht="33.75" hidden="false" customHeight="true" outlineLevel="0" collapsed="false">
      <c r="A8" s="6" t="s">
        <v>100</v>
      </c>
      <c r="B8" s="6" t="s">
        <v>84</v>
      </c>
      <c r="C8" s="6" t="s">
        <v>102</v>
      </c>
      <c r="D8" s="6" t="s">
        <v>93</v>
      </c>
      <c r="E8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2026-08-27T01:02:54Z</dcterms:created>
  <dc:creator>openpyxl</dc:creator>
  <dc:description/>
  <dc:language>en-US</dc:language>
  <cp:lastModifiedBy/>
  <dcterms:modified xsi:type="dcterms:W3CDTF">2026-08-27T01:02:55Z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